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" sheetId="2" r:id="rId6"/>
  </sheets>
  <definedNames/>
  <calcPr/>
</workbook>
</file>

<file path=xl/sharedStrings.xml><?xml version="1.0" encoding="utf-8"?>
<sst xmlns="http://schemas.openxmlformats.org/spreadsheetml/2006/main" count="18" uniqueCount="16">
  <si>
    <t>Cticket_id</t>
  </si>
  <si>
    <t xml:space="preserve">created_at </t>
  </si>
  <si>
    <t xml:space="preserve">closed_at </t>
  </si>
  <si>
    <t>outlet_id</t>
  </si>
  <si>
    <t xml:space="preserve"> cms_id</t>
  </si>
  <si>
    <t>Same Day</t>
  </si>
  <si>
    <t>Same Hour</t>
  </si>
  <si>
    <t>Same Day Count</t>
  </si>
  <si>
    <t>Same Hour Count</t>
  </si>
  <si>
    <t>isu-sjd-457</t>
  </si>
  <si>
    <t>wrqy-juv-978</t>
  </si>
  <si>
    <t>vew-iuvd-12</t>
  </si>
  <si>
    <t>cms_id</t>
  </si>
  <si>
    <t xml:space="preserve">feedback_at </t>
  </si>
  <si>
    <t xml:space="preserve">feedback_rating </t>
  </si>
  <si>
    <t xml:space="preserve"> 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</si>
</sst>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44427.69841435185</v>
      </c>
      <c r="C2" s="2">
        <v>44430.52328703704</v>
      </c>
      <c r="D2" s="1" t="s">
        <v>10</v>
      </c>
      <c r="E2" s="1" t="s">
        <v>11</v>
      </c>
      <c r="F2" s="3" t="str">
        <f t="shared" ref="F2:F17" si="1">IF(INT(B2)=INT(C2),"Yes","No")</f>
        <v>No</v>
      </c>
      <c r="G2" s="3" t="str">
        <f t="shared" ref="G2:G17" si="2">IF(HOUR(B2)=HOUR(C2),"Yes","No")</f>
        <v>No</v>
      </c>
      <c r="H2" s="3">
        <f>COUNTIFS(D:D,"wrqy-juv-978",F:F,"Yes")</f>
        <v>0</v>
      </c>
      <c r="I2" s="3">
        <f>COUNTIFS(D:D,"wrqy-juv-978",G:G,"Yes")</f>
        <v>0</v>
      </c>
    </row>
    <row r="3">
      <c r="F3" s="3" t="str">
        <f t="shared" si="1"/>
        <v>Yes</v>
      </c>
      <c r="G3" s="3" t="str">
        <f t="shared" si="2"/>
        <v>Yes</v>
      </c>
    </row>
    <row r="4">
      <c r="F4" s="3" t="str">
        <f t="shared" si="1"/>
        <v>Yes</v>
      </c>
      <c r="G4" s="3" t="str">
        <f t="shared" si="2"/>
        <v>Yes</v>
      </c>
    </row>
    <row r="5">
      <c r="F5" s="3" t="str">
        <f t="shared" si="1"/>
        <v>Yes</v>
      </c>
      <c r="G5" s="3" t="str">
        <f t="shared" si="2"/>
        <v>Yes</v>
      </c>
    </row>
    <row r="6">
      <c r="F6" s="3" t="str">
        <f t="shared" si="1"/>
        <v>Yes</v>
      </c>
      <c r="G6" s="3" t="str">
        <f t="shared" si="2"/>
        <v>Yes</v>
      </c>
    </row>
    <row r="7">
      <c r="F7" s="3" t="str">
        <f t="shared" si="1"/>
        <v>Yes</v>
      </c>
      <c r="G7" s="3" t="str">
        <f t="shared" si="2"/>
        <v>Yes</v>
      </c>
    </row>
    <row r="8">
      <c r="F8" s="3" t="str">
        <f t="shared" si="1"/>
        <v>Yes</v>
      </c>
      <c r="G8" s="3" t="str">
        <f t="shared" si="2"/>
        <v>Yes</v>
      </c>
    </row>
    <row r="9">
      <c r="F9" s="3" t="str">
        <f t="shared" si="1"/>
        <v>Yes</v>
      </c>
      <c r="G9" s="3" t="str">
        <f t="shared" si="2"/>
        <v>Yes</v>
      </c>
    </row>
    <row r="10">
      <c r="F10" s="3" t="str">
        <f t="shared" si="1"/>
        <v>Yes</v>
      </c>
      <c r="G10" s="3" t="str">
        <f t="shared" si="2"/>
        <v>Yes</v>
      </c>
    </row>
    <row r="11">
      <c r="F11" s="3" t="str">
        <f t="shared" si="1"/>
        <v>Yes</v>
      </c>
      <c r="G11" s="3" t="str">
        <f t="shared" si="2"/>
        <v>Yes</v>
      </c>
    </row>
    <row r="12">
      <c r="F12" s="3" t="str">
        <f t="shared" si="1"/>
        <v>Yes</v>
      </c>
      <c r="G12" s="3" t="str">
        <f t="shared" si="2"/>
        <v>Yes</v>
      </c>
    </row>
    <row r="13">
      <c r="F13" s="3" t="str">
        <f t="shared" si="1"/>
        <v>Yes</v>
      </c>
      <c r="G13" s="3" t="str">
        <f t="shared" si="2"/>
        <v>Yes</v>
      </c>
    </row>
    <row r="14">
      <c r="F14" s="3" t="str">
        <f t="shared" si="1"/>
        <v>Yes</v>
      </c>
      <c r="G14" s="3" t="str">
        <f t="shared" si="2"/>
        <v>Yes</v>
      </c>
    </row>
    <row r="15">
      <c r="F15" s="3" t="str">
        <f t="shared" si="1"/>
        <v>Yes</v>
      </c>
      <c r="G15" s="3" t="str">
        <f t="shared" si="2"/>
        <v>Yes</v>
      </c>
    </row>
    <row r="16">
      <c r="F16" s="3" t="str">
        <f t="shared" si="1"/>
        <v>Yes</v>
      </c>
      <c r="G16" s="3" t="str">
        <f t="shared" si="2"/>
        <v>Yes</v>
      </c>
    </row>
    <row r="17">
      <c r="F17" s="3" t="str">
        <f t="shared" si="1"/>
        <v>Yes</v>
      </c>
      <c r="G17" s="3" t="str">
        <f t="shared" si="2"/>
        <v>Yes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</row>
    <row r="2">
      <c r="A2" s="1" t="s">
        <v>11</v>
      </c>
      <c r="B2" s="2">
        <v>44429.560277777775</v>
      </c>
      <c r="C2" s="1">
        <v>3.0</v>
      </c>
    </row>
    <row r="3">
      <c r="A3" s="1" t="s">
        <v>11</v>
      </c>
      <c r="B3" s="2">
        <v>44429.560277777775</v>
      </c>
      <c r="C3" s="1">
        <v>3.0</v>
      </c>
      <c r="D3" s="4">
        <f t="array" ref="D3">INDEX(ticket!B:B, MATCH(A2, ticket!E:E, 0))</f>
        <v>44427.69841</v>
      </c>
    </row>
  </sheetData>
  <drawing r:id="rId1"/>
</worksheet>
</file>